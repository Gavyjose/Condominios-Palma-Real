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Antigravity\Condominio\"/>
    </mc:Choice>
  </mc:AlternateContent>
  <xr:revisionPtr revIDLastSave="0" documentId="13_ncr:1_{E6854327-6471-4148-BE1C-8FA5784AB061}" xr6:coauthVersionLast="47" xr6:coauthVersionMax="47" xr10:uidLastSave="{00000000-0000-0000-0000-000000000000}"/>
  <bookViews>
    <workbookView xWindow="-120" yWindow="-120" windowWidth="19440" windowHeight="14040" activeTab="1" xr2:uid="{83DAAD26-9830-4F7E-85AB-8D68B5C570E7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5" l="1"/>
  <c r="G10" i="5"/>
  <c r="G11" i="5"/>
  <c r="G24" i="5" s="1"/>
  <c r="G12" i="5"/>
  <c r="G13" i="5"/>
  <c r="G14" i="5"/>
  <c r="G15" i="5"/>
  <c r="G16" i="5"/>
  <c r="G17" i="5"/>
  <c r="G18" i="5"/>
  <c r="G19" i="5"/>
  <c r="G20" i="5"/>
  <c r="G21" i="5"/>
  <c r="G22" i="5"/>
  <c r="G23" i="5"/>
  <c r="G8" i="5"/>
  <c r="F12" i="3"/>
  <c r="F13" i="3"/>
  <c r="F14" i="3"/>
  <c r="F15" i="3"/>
  <c r="F16" i="3"/>
  <c r="F17" i="3"/>
  <c r="F18" i="3"/>
  <c r="F19" i="3"/>
  <c r="F9" i="3"/>
  <c r="F10" i="3"/>
  <c r="F11" i="3"/>
  <c r="F8" i="3"/>
  <c r="F7" i="3"/>
  <c r="F5" i="3"/>
  <c r="F6" i="3"/>
  <c r="F4" i="3"/>
  <c r="F23" i="2" l="1"/>
  <c r="E23" i="2"/>
  <c r="D23" i="2"/>
  <c r="C23" i="2"/>
  <c r="C24" i="2" s="1"/>
</calcChain>
</file>

<file path=xl/sharedStrings.xml><?xml version="1.0" encoding="utf-8"?>
<sst xmlns="http://schemas.openxmlformats.org/spreadsheetml/2006/main" count="192" uniqueCount="133">
  <si>
    <t>Concepto</t>
  </si>
  <si>
    <t>BCV ($)</t>
  </si>
  <si>
    <t>Bolívares (Bs)</t>
  </si>
  <si>
    <t>Pago ($)</t>
  </si>
  <si>
    <t>Diferencia / Agosto</t>
  </si>
  <si>
    <t>Vigilancia</t>
  </si>
  <si>
    <t>Agua</t>
  </si>
  <si>
    <t>Piscina</t>
  </si>
  <si>
    <t>Operador de Bomba PH</t>
  </si>
  <si>
    <t>Aseo Sr. Tello</t>
  </si>
  <si>
    <t>Administración</t>
  </si>
  <si>
    <t>Limpieza Torre 9 Días A 6</t>
  </si>
  <si>
    <t>Productos Limpieza</t>
  </si>
  <si>
    <t>Jardinería (Sr. Nelson)</t>
  </si>
  <si>
    <t>Comisión Pago Móvil</t>
  </si>
  <si>
    <t>Elecentro Torre N 1000037324845</t>
  </si>
  <si>
    <t>Fondo de Reserva</t>
  </si>
  <si>
    <t>-</t>
  </si>
  <si>
    <t>Riego</t>
  </si>
  <si>
    <t>Corpoelect (Área Común) Áreas Verdes</t>
  </si>
  <si>
    <t>Diferencia Saldo Anterior</t>
  </si>
  <si>
    <t>Sr. Víctor Mano de Obra</t>
  </si>
  <si>
    <t>Compra de Materiales</t>
  </si>
  <si>
    <t>Limpieza Área Perimetral, Aceite Motor</t>
  </si>
  <si>
    <t>Totales Finales</t>
  </si>
  <si>
    <t>GASTOS EFECTUADOS EN EL MES DE ENERO 2026</t>
  </si>
  <si>
    <t>Alicuota por Apto /16</t>
  </si>
  <si>
    <t>CONDOMINIO RESIDENCIA PALMA REAL TORRE 9</t>
  </si>
  <si>
    <t>ACTA DE ENTREGA</t>
  </si>
  <si>
    <r>
      <t>FECHA:</t>
    </r>
    <r>
      <rPr>
        <sz val="11"/>
        <color theme="1"/>
        <rFont val="Aptos Narrow"/>
        <family val="2"/>
        <scheme val="minor"/>
      </rPr>
      <t xml:space="preserve"> 03/02/2026</t>
    </r>
  </si>
  <si>
    <t>SEÑORES PROPIETARIOS DE PALMA REAL TORRE A9</t>
  </si>
  <si>
    <t>Por medio de la presente hago entrega del dinero recogido al 31/01/26 por los conceptos de:</t>
  </si>
  <si>
    <t>CONCEPTOS</t>
  </si>
  <si>
    <t>BS</t>
  </si>
  <si>
    <t>DIVISAS</t>
  </si>
  <si>
    <t>Saldo por cuotas recibidas por pago de condominio</t>
  </si>
  <si>
    <t>Cuotas especiales recibidas en enero</t>
  </si>
  <si>
    <t>Cambio de decimales en divisas a BCV 367,3069</t>
  </si>
  <si>
    <t>TOTAL A ENTREGAR AL 31/12/2026</t>
  </si>
  <si>
    <t>REFERENCIAS PARA LA ENTREGA</t>
  </si>
  <si>
    <t>FECHA</t>
  </si>
  <si>
    <t>METODO PAGO REF</t>
  </si>
  <si>
    <t>CONCEPTO</t>
  </si>
  <si>
    <t>IMPORTE</t>
  </si>
  <si>
    <t>PAGO MOVIL</t>
  </si>
  <si>
    <t>SALDO CONDOMINIO</t>
  </si>
  <si>
    <t>DEVOLUCION PAGO 03/02/2025</t>
  </si>
  <si>
    <t>TOTAL POR PAGO MOVIL</t>
  </si>
  <si>
    <t>EFECTIVO $</t>
  </si>
  <si>
    <t>RECIBE EN REPRESENTACIÓN DE LA TORRE A9 DANIELA BLANCO CEDULA V-18.083.548 PROPIETARIA DEL 2B TORRE A9</t>
  </si>
  <si>
    <t>ENTREGA  LIC. ANNA VONA CEDULA V-10.360.964 ADMINISTRADORA DESDE NOVIEMBRE 2022 HASTA ENERO 2026</t>
  </si>
  <si>
    <t>PROPIETARIO</t>
  </si>
  <si>
    <t>APTO</t>
  </si>
  <si>
    <t>DIC</t>
  </si>
  <si>
    <t>ENE</t>
  </si>
  <si>
    <t>TOTAL</t>
  </si>
  <si>
    <t>Bs</t>
  </si>
  <si>
    <t>$</t>
  </si>
  <si>
    <t>FABIANA FREITE</t>
  </si>
  <si>
    <t>PB-A</t>
  </si>
  <si>
    <t>AYMARA</t>
  </si>
  <si>
    <t>PB-B</t>
  </si>
  <si>
    <t>ROSALINDA MO</t>
  </si>
  <si>
    <t>PB-C</t>
  </si>
  <si>
    <t>SR. CHUY</t>
  </si>
  <si>
    <t>PB-D</t>
  </si>
  <si>
    <t>ROSMER MADRI</t>
  </si>
  <si>
    <t>1-A</t>
  </si>
  <si>
    <t>EMELYM CRUZ</t>
  </si>
  <si>
    <t>1-B</t>
  </si>
  <si>
    <t>ALEJANDRO PES</t>
  </si>
  <si>
    <t>1-C</t>
  </si>
  <si>
    <t>ALFONSO CECCA</t>
  </si>
  <si>
    <t>1-D</t>
  </si>
  <si>
    <t>LUIS NIEVES</t>
  </si>
  <si>
    <t>2-A</t>
  </si>
  <si>
    <t>DANIELA BLANC</t>
  </si>
  <si>
    <t>2-B</t>
  </si>
  <si>
    <t>DALY/DALY DAN</t>
  </si>
  <si>
    <t>2-C</t>
  </si>
  <si>
    <t>2-D</t>
  </si>
  <si>
    <t>ELIMAR</t>
  </si>
  <si>
    <t>3-A</t>
  </si>
  <si>
    <t>EDWIN RANGEL</t>
  </si>
  <si>
    <t>3-B</t>
  </si>
  <si>
    <t>ESTEBAN CABAL</t>
  </si>
  <si>
    <t>3-C</t>
  </si>
  <si>
    <t>NEILA MEJIAS</t>
  </si>
  <si>
    <t>3-D</t>
  </si>
  <si>
    <t>POR COBRAR</t>
  </si>
  <si>
    <t>PEDRO PEÑALOZA</t>
  </si>
  <si>
    <t>COBRANZAS "CUENTAS POR COBRAR)</t>
  </si>
  <si>
    <t>Entradas (Bs)</t>
  </si>
  <si>
    <t>Entradas ($)</t>
  </si>
  <si>
    <t>Salidas (Bs)</t>
  </si>
  <si>
    <t>Salidas ($)</t>
  </si>
  <si>
    <t>Saldo (Bs)</t>
  </si>
  <si>
    <t>Saldo ($)</t>
  </si>
  <si>
    <t>SALDO INICIAL</t>
  </si>
  <si>
    <t>COBRANZAS</t>
  </si>
  <si>
    <t>PAGOS</t>
  </si>
  <si>
    <t>CAMBIO $ RETIRO FONDO</t>
  </si>
  <si>
    <t>UTILIZADO DE LA RESERVA</t>
  </si>
  <si>
    <t>SALDO AL 31/01/2026</t>
  </si>
  <si>
    <t>SALDO INICIAL AL 01 01 26</t>
  </si>
  <si>
    <t>MOVIMIENTO ENERO 26</t>
  </si>
  <si>
    <t>SALDO RESERVA AL 31 01 2026</t>
  </si>
  <si>
    <t>TOTAL EFECTIVO Y FONDO</t>
  </si>
  <si>
    <t>EFECTIVO EN CAJA</t>
  </si>
  <si>
    <t>CTAS X COBRAR</t>
  </si>
  <si>
    <t>CTAS X PAGAR</t>
  </si>
  <si>
    <t>TOTAL CIRCULANTE</t>
  </si>
  <si>
    <t>RESUMEN DEL MES DE ENERO 2026</t>
  </si>
  <si>
    <t>CONDOMINIO PALMA REAL TORRE A9 CUOTAS ESPECIALES ENERO 2026</t>
  </si>
  <si>
    <t>CUOTA 1</t>
  </si>
  <si>
    <t>CUOTA 2</t>
  </si>
  <si>
    <t>11,41 ($)</t>
  </si>
  <si>
    <r>
      <t>22,82 ($)</t>
    </r>
    <r>
      <rPr>
        <sz val="11"/>
        <color rgb="FF1F1F1F"/>
        <rFont val="Arial"/>
        <family val="2"/>
      </rPr>
      <t xml:space="preserve"> </t>
    </r>
  </si>
  <si>
    <t>FABIANA FREITES</t>
  </si>
  <si>
    <t>AYMARA (ZELLE)</t>
  </si>
  <si>
    <t>ROSALINDA MONCADA</t>
  </si>
  <si>
    <t>ROSMER MADRIZ</t>
  </si>
  <si>
    <t>ALEJANDRO PESTANA</t>
  </si>
  <si>
    <t>ALFONSO CECCALA</t>
  </si>
  <si>
    <t>LIJIS NIEVES</t>
  </si>
  <si>
    <t>DANIELA BLANCO</t>
  </si>
  <si>
    <t>DALY / DALY DANIELA (ELIX A)</t>
  </si>
  <si>
    <t>ESTEBAN CABALLERO</t>
  </si>
  <si>
    <t>TOTAL (BS)</t>
  </si>
  <si>
    <t>TOTAL ($)</t>
  </si>
  <si>
    <t>TRABAJOS ADICIONALES TERRAZA</t>
  </si>
  <si>
    <t>Mantenimiento de Terreno Sr Felix</t>
  </si>
  <si>
    <t>Hoja de Movimiento de Efectivo (FEBRERO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</si>
</sst>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" fontId="0" fillId="0" borderId="0" xfId="0" applyNumberFormat="1"/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4" fontId="4" fillId="0" borderId="0" xfId="0" applyNumberFormat="1" applyFont="1" applyAlignment="1">
      <alignment horizontal="left" vertical="center" wrapText="1" indent="1" readingOrder="1"/>
    </xf>
    <xf numFmtId="4" fontId="5" fillId="0" borderId="0" xfId="0" applyNumberFormat="1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5" fillId="0" borderId="7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11" xfId="0" applyFont="1" applyBorder="1" applyAlignment="1">
      <alignment horizontal="left" vertical="center" wrapText="1" indent="1" readingOrder="1"/>
    </xf>
    <xf numFmtId="14" fontId="4" fillId="0" borderId="6" xfId="0" applyNumberFormat="1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left" vertical="center" wrapText="1" indent="1" readingOrder="1"/>
    </xf>
    <xf numFmtId="4" fontId="4" fillId="0" borderId="6" xfId="0" applyNumberFormat="1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horizontal="left" vertical="center" wrapText="1" indent="1" readingOrder="1"/>
    </xf>
    <xf numFmtId="4" fontId="5" fillId="0" borderId="6" xfId="0" applyNumberFormat="1" applyFont="1" applyBorder="1" applyAlignment="1">
      <alignment horizontal="left" vertical="center" wrapText="1" indent="1" readingOrder="1"/>
    </xf>
    <xf numFmtId="4" fontId="4" fillId="0" borderId="1" xfId="0" applyNumberFormat="1" applyFont="1" applyBorder="1" applyAlignment="1">
      <alignment horizontal="left" vertical="center" wrapText="1" indent="1" readingOrder="1"/>
    </xf>
    <xf numFmtId="4" fontId="5" fillId="0" borderId="1" xfId="0" applyNumberFormat="1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4" fillId="0" borderId="13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vertical="center"/>
    </xf>
    <xf numFmtId="4" fontId="4" fillId="0" borderId="15" xfId="0" applyNumberFormat="1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4" fontId="2" fillId="0" borderId="6" xfId="0" applyNumberFormat="1" applyFont="1" applyBorder="1" applyAlignment="1">
      <alignment horizontal="right" wrapText="1"/>
    </xf>
    <xf numFmtId="4" fontId="2" fillId="0" borderId="6" xfId="0" applyNumberFormat="1" applyFont="1" applyBorder="1" applyAlignment="1">
      <alignment wrapText="1"/>
    </xf>
    <xf numFmtId="4" fontId="2" fillId="2" borderId="6" xfId="0" applyNumberFormat="1" applyFont="1" applyFill="1" applyBorder="1" applyAlignment="1">
      <alignment horizontal="right" wrapText="1"/>
    </xf>
    <xf numFmtId="0" fontId="2" fillId="2" borderId="6" xfId="0" applyFont="1" applyFill="1" applyBorder="1" applyAlignment="1">
      <alignment wrapText="1"/>
    </xf>
    <xf numFmtId="4" fontId="4" fillId="0" borderId="0" xfId="0" applyNumberFormat="1" applyFont="1" applyFill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6522-AACB-421B-BF64-E982933DD0AE}">
  <dimension ref="B3:H31"/>
  <sheetViews>
    <sheetView showGridLines="0" topLeftCell="A10" workbookViewId="0">
      <selection activeCell="B32" sqref="B32"/>
    </sheetView>
  </sheetViews>
  <sheetFormatPr baseColWidth="10" defaultRowHeight="15" x14ac:dyDescent="0.25"/>
  <cols>
    <col min="3" max="3" width="18.85546875" customWidth="1"/>
    <col min="6" max="6" width="14.85546875" customWidth="1"/>
  </cols>
  <sheetData>
    <row r="3" spans="2:8" x14ac:dyDescent="0.25">
      <c r="H3" s="2" t="s">
        <v>29</v>
      </c>
    </row>
    <row r="4" spans="2:8" x14ac:dyDescent="0.25">
      <c r="B4" t="s">
        <v>27</v>
      </c>
    </row>
    <row r="7" spans="2:8" x14ac:dyDescent="0.25">
      <c r="D7" t="s">
        <v>28</v>
      </c>
    </row>
    <row r="9" spans="2:8" x14ac:dyDescent="0.25">
      <c r="B9" t="s">
        <v>30</v>
      </c>
    </row>
    <row r="11" spans="2:8" x14ac:dyDescent="0.25">
      <c r="B11" t="s">
        <v>31</v>
      </c>
    </row>
    <row r="13" spans="2:8" ht="15.75" thickBot="1" x14ac:dyDescent="0.3"/>
    <row r="14" spans="2:8" ht="30.75" customHeight="1" thickBot="1" x14ac:dyDescent="0.3">
      <c r="B14" s="37" t="s">
        <v>32</v>
      </c>
      <c r="C14" s="38"/>
      <c r="D14" s="38"/>
      <c r="E14" s="3" t="s">
        <v>33</v>
      </c>
      <c r="F14" s="3" t="s">
        <v>34</v>
      </c>
    </row>
    <row r="15" spans="2:8" x14ac:dyDescent="0.25">
      <c r="B15" s="35" t="s">
        <v>35</v>
      </c>
      <c r="C15" s="36"/>
      <c r="D15" s="36"/>
      <c r="E15" s="5">
        <v>2.2200000000000002</v>
      </c>
      <c r="F15" s="5">
        <v>134.69</v>
      </c>
    </row>
    <row r="16" spans="2:8" x14ac:dyDescent="0.25">
      <c r="B16" s="35" t="s">
        <v>36</v>
      </c>
      <c r="C16" s="36"/>
      <c r="D16" s="36"/>
      <c r="E16" s="6">
        <v>86718.78</v>
      </c>
      <c r="F16" s="5">
        <v>22.82</v>
      </c>
    </row>
    <row r="17" spans="2:6" x14ac:dyDescent="0.25">
      <c r="B17" s="35" t="s">
        <v>37</v>
      </c>
      <c r="C17" s="36"/>
      <c r="D17" s="36"/>
      <c r="E17" s="5">
        <v>187.33</v>
      </c>
      <c r="F17" s="5">
        <v>0.51</v>
      </c>
    </row>
    <row r="18" spans="2:6" x14ac:dyDescent="0.25">
      <c r="B18" s="35" t="s">
        <v>38</v>
      </c>
      <c r="C18" s="36"/>
      <c r="D18" s="36"/>
      <c r="E18" s="7">
        <v>86908.33</v>
      </c>
      <c r="F18" s="8">
        <v>157</v>
      </c>
    </row>
    <row r="21" spans="2:6" x14ac:dyDescent="0.25">
      <c r="B21" t="s">
        <v>39</v>
      </c>
    </row>
    <row r="22" spans="2:6" ht="15.75" thickBot="1" x14ac:dyDescent="0.3"/>
    <row r="23" spans="2:6" ht="30" x14ac:dyDescent="0.25">
      <c r="B23" s="12" t="s">
        <v>40</v>
      </c>
      <c r="C23" s="13" t="s">
        <v>41</v>
      </c>
      <c r="D23" s="39" t="s">
        <v>42</v>
      </c>
      <c r="E23" s="40"/>
      <c r="F23" s="14" t="s">
        <v>43</v>
      </c>
    </row>
    <row r="24" spans="2:6" x14ac:dyDescent="0.25">
      <c r="B24" s="15">
        <v>45691</v>
      </c>
      <c r="C24" s="16" t="s">
        <v>44</v>
      </c>
      <c r="D24" s="34" t="s">
        <v>45</v>
      </c>
      <c r="E24" s="34"/>
      <c r="F24" s="17">
        <v>86908.33</v>
      </c>
    </row>
    <row r="25" spans="2:6" ht="27.75" customHeight="1" x14ac:dyDescent="0.25">
      <c r="B25" s="15">
        <v>45691</v>
      </c>
      <c r="C25" s="16" t="s">
        <v>44</v>
      </c>
      <c r="D25" s="34" t="s">
        <v>46</v>
      </c>
      <c r="E25" s="34"/>
      <c r="F25" s="17">
        <v>25917.5</v>
      </c>
    </row>
    <row r="26" spans="2:6" ht="30" x14ac:dyDescent="0.25">
      <c r="B26" s="16"/>
      <c r="C26" s="18" t="s">
        <v>47</v>
      </c>
      <c r="D26" s="34"/>
      <c r="E26" s="34"/>
      <c r="F26" s="19">
        <v>112825.83</v>
      </c>
    </row>
    <row r="27" spans="2:6" x14ac:dyDescent="0.25">
      <c r="B27" s="15">
        <v>45691</v>
      </c>
      <c r="C27" s="16" t="s">
        <v>48</v>
      </c>
      <c r="D27" s="34" t="s">
        <v>45</v>
      </c>
      <c r="E27" s="34"/>
      <c r="F27" s="16">
        <v>157</v>
      </c>
    </row>
    <row r="29" spans="2:6" x14ac:dyDescent="0.25">
      <c r="B29" t="s">
        <v>49</v>
      </c>
    </row>
    <row r="31" spans="2:6" x14ac:dyDescent="0.25">
      <c r="B31" t="s">
        <v>50</v>
      </c>
    </row>
  </sheetData>
  <mergeCells count="10">
    <mergeCell ref="B14:D14"/>
    <mergeCell ref="D23:E23"/>
    <mergeCell ref="D24:E24"/>
    <mergeCell ref="D25:E25"/>
    <mergeCell ref="D26:E26"/>
    <mergeCell ref="D27:E27"/>
    <mergeCell ref="B15:D15"/>
    <mergeCell ref="B16:D16"/>
    <mergeCell ref="B17:D17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CA49-3FD0-4E56-867F-95CE0D5B8FEB}">
  <dimension ref="B2:F24"/>
  <sheetViews>
    <sheetView showGridLines="0" tabSelected="1" workbookViewId="0">
      <selection activeCell="I10" sqref="I10"/>
    </sheetView>
  </sheetViews>
  <sheetFormatPr baseColWidth="10" defaultRowHeight="15" x14ac:dyDescent="0.25"/>
  <cols>
    <col min="2" max="2" width="32" customWidth="1"/>
    <col min="3" max="3" width="7.5703125" bestFit="1" customWidth="1"/>
    <col min="6" max="6" width="11.42578125" bestFit="1" customWidth="1"/>
  </cols>
  <sheetData>
    <row r="2" spans="2:6" x14ac:dyDescent="0.25">
      <c r="B2" s="41" t="s">
        <v>25</v>
      </c>
      <c r="C2" s="41"/>
      <c r="D2" s="41"/>
      <c r="E2" s="41"/>
      <c r="F2" s="41"/>
    </row>
    <row r="3" spans="2:6" ht="25.5" x14ac:dyDescent="0.25"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</row>
    <row r="4" spans="2:6" x14ac:dyDescent="0.25">
      <c r="B4" s="32" t="s">
        <v>5</v>
      </c>
      <c r="C4" s="31">
        <v>60</v>
      </c>
      <c r="D4" s="29">
        <v>19523.36</v>
      </c>
      <c r="E4" s="29">
        <v>60</v>
      </c>
      <c r="F4" s="29">
        <v>0</v>
      </c>
    </row>
    <row r="5" spans="2:6" x14ac:dyDescent="0.25">
      <c r="B5" s="32" t="s">
        <v>6</v>
      </c>
      <c r="C5" s="31">
        <v>36</v>
      </c>
      <c r="D5" s="29">
        <v>12483.66</v>
      </c>
      <c r="E5" s="29">
        <v>38.369999999999997</v>
      </c>
      <c r="F5" s="29">
        <v>-2.37</v>
      </c>
    </row>
    <row r="6" spans="2:6" x14ac:dyDescent="0.25">
      <c r="B6" s="32" t="s">
        <v>7</v>
      </c>
      <c r="C6" s="31">
        <v>14.02</v>
      </c>
      <c r="D6" s="29">
        <v>4561.96</v>
      </c>
      <c r="E6" s="29">
        <v>14.02</v>
      </c>
      <c r="F6" s="29">
        <v>0</v>
      </c>
    </row>
    <row r="7" spans="2:6" x14ac:dyDescent="0.25">
      <c r="B7" s="32" t="s">
        <v>8</v>
      </c>
      <c r="C7" s="31">
        <v>6</v>
      </c>
      <c r="D7" s="29">
        <v>1952.34</v>
      </c>
      <c r="E7" s="29">
        <v>6</v>
      </c>
      <c r="F7" s="29">
        <v>0</v>
      </c>
    </row>
    <row r="8" spans="2:6" ht="21" customHeight="1" x14ac:dyDescent="0.25">
      <c r="B8" s="32" t="s">
        <v>9</v>
      </c>
      <c r="C8" s="31">
        <v>10</v>
      </c>
      <c r="D8" s="29">
        <v>3253.89</v>
      </c>
      <c r="E8" s="29">
        <v>10</v>
      </c>
      <c r="F8" s="29">
        <v>0</v>
      </c>
    </row>
    <row r="9" spans="2:6" ht="15" customHeight="1" x14ac:dyDescent="0.25">
      <c r="B9" s="32" t="s">
        <v>10</v>
      </c>
      <c r="C9" s="31">
        <v>50</v>
      </c>
      <c r="D9" s="29">
        <v>18365.349999999999</v>
      </c>
      <c r="E9" s="29">
        <v>50</v>
      </c>
      <c r="F9" s="29">
        <v>0</v>
      </c>
    </row>
    <row r="10" spans="2:6" ht="15" customHeight="1" x14ac:dyDescent="0.25">
      <c r="B10" s="32" t="s">
        <v>11</v>
      </c>
      <c r="C10" s="31">
        <v>54</v>
      </c>
      <c r="D10" s="29">
        <v>19834.57</v>
      </c>
      <c r="E10" s="29">
        <v>54</v>
      </c>
      <c r="F10" s="29">
        <v>0</v>
      </c>
    </row>
    <row r="11" spans="2:6" ht="15" customHeight="1" x14ac:dyDescent="0.25">
      <c r="B11" s="32" t="s">
        <v>12</v>
      </c>
      <c r="C11" s="31">
        <v>12</v>
      </c>
      <c r="D11" s="29">
        <v>2441</v>
      </c>
      <c r="E11" s="29">
        <v>7.5</v>
      </c>
      <c r="F11" s="29">
        <v>4.5</v>
      </c>
    </row>
    <row r="12" spans="2:6" ht="15" customHeight="1" x14ac:dyDescent="0.25">
      <c r="B12" s="32" t="s">
        <v>13</v>
      </c>
      <c r="C12" s="31">
        <v>20</v>
      </c>
      <c r="D12" s="29">
        <v>7229.82</v>
      </c>
      <c r="E12" s="29">
        <v>20</v>
      </c>
      <c r="F12" s="29">
        <v>0</v>
      </c>
    </row>
    <row r="13" spans="2:6" ht="15" customHeight="1" x14ac:dyDescent="0.25">
      <c r="B13" s="28" t="s">
        <v>14</v>
      </c>
      <c r="C13" s="29">
        <v>1</v>
      </c>
      <c r="D13" s="29">
        <v>970</v>
      </c>
      <c r="E13" s="29">
        <v>2.64</v>
      </c>
      <c r="F13" s="29">
        <v>-1.64</v>
      </c>
    </row>
    <row r="14" spans="2:6" ht="15" customHeight="1" x14ac:dyDescent="0.25">
      <c r="B14" s="32" t="s">
        <v>15</v>
      </c>
      <c r="C14" s="29">
        <v>2</v>
      </c>
      <c r="D14" s="29">
        <v>5258.93</v>
      </c>
      <c r="E14" s="29">
        <v>14.55</v>
      </c>
      <c r="F14" s="29">
        <v>-12.55</v>
      </c>
    </row>
    <row r="15" spans="2:6" ht="15" customHeight="1" x14ac:dyDescent="0.25">
      <c r="B15" s="28" t="s">
        <v>16</v>
      </c>
      <c r="C15" s="29">
        <v>50</v>
      </c>
      <c r="D15" s="30" t="s">
        <v>17</v>
      </c>
      <c r="E15" s="30" t="s">
        <v>17</v>
      </c>
      <c r="F15" s="29">
        <v>50</v>
      </c>
    </row>
    <row r="16" spans="2:6" x14ac:dyDescent="0.25">
      <c r="B16" s="32" t="s">
        <v>18</v>
      </c>
      <c r="C16" s="31">
        <v>12</v>
      </c>
      <c r="D16" s="29">
        <v>4407.68</v>
      </c>
      <c r="E16" s="29">
        <v>12</v>
      </c>
      <c r="F16" s="29">
        <v>0</v>
      </c>
    </row>
    <row r="17" spans="2:6" ht="15" customHeight="1" x14ac:dyDescent="0.25">
      <c r="B17" s="32" t="s">
        <v>131</v>
      </c>
      <c r="C17" s="31">
        <v>3</v>
      </c>
      <c r="D17" s="31">
        <v>976.17</v>
      </c>
      <c r="E17" s="31">
        <v>3</v>
      </c>
      <c r="F17" s="31">
        <v>0</v>
      </c>
    </row>
    <row r="18" spans="2:6" ht="31.5" customHeight="1" x14ac:dyDescent="0.25">
      <c r="B18" s="32" t="s">
        <v>19</v>
      </c>
      <c r="C18" s="29">
        <v>4.8</v>
      </c>
      <c r="D18" s="29">
        <v>1251.05</v>
      </c>
      <c r="E18" s="29">
        <v>3.72</v>
      </c>
      <c r="F18" s="29">
        <v>1.08</v>
      </c>
    </row>
    <row r="19" spans="2:6" ht="15" customHeight="1" x14ac:dyDescent="0.25">
      <c r="B19" s="28" t="s">
        <v>20</v>
      </c>
      <c r="C19" s="29">
        <v>4.05</v>
      </c>
      <c r="D19" s="30" t="s">
        <v>17</v>
      </c>
      <c r="E19" s="29">
        <v>4.05</v>
      </c>
      <c r="F19" s="29">
        <v>0</v>
      </c>
    </row>
    <row r="20" spans="2:6" ht="15" customHeight="1" x14ac:dyDescent="0.25">
      <c r="B20" s="28" t="s">
        <v>21</v>
      </c>
      <c r="C20" s="30" t="s">
        <v>17</v>
      </c>
      <c r="D20" s="29">
        <v>67819.789999999994</v>
      </c>
      <c r="E20" s="29">
        <v>200</v>
      </c>
      <c r="F20" s="29">
        <v>-200</v>
      </c>
    </row>
    <row r="21" spans="2:6" ht="15" customHeight="1" x14ac:dyDescent="0.25">
      <c r="B21" s="28" t="s">
        <v>22</v>
      </c>
      <c r="C21" s="30" t="s">
        <v>17</v>
      </c>
      <c r="D21" s="29">
        <v>34788.68</v>
      </c>
      <c r="E21" s="29">
        <v>106.54</v>
      </c>
      <c r="F21" s="29">
        <v>-106.54</v>
      </c>
    </row>
    <row r="22" spans="2:6" ht="28.5" customHeight="1" x14ac:dyDescent="0.25">
      <c r="B22" s="32" t="s">
        <v>23</v>
      </c>
      <c r="C22" s="31">
        <v>8.82</v>
      </c>
      <c r="D22" s="31">
        <v>370.25</v>
      </c>
      <c r="E22" s="31">
        <v>1</v>
      </c>
      <c r="F22" s="31">
        <v>7.82</v>
      </c>
    </row>
    <row r="23" spans="2:6" ht="15" customHeight="1" x14ac:dyDescent="0.25">
      <c r="B23" s="28" t="s">
        <v>24</v>
      </c>
      <c r="C23" s="29">
        <f>SUM(C4:C22)</f>
        <v>347.69</v>
      </c>
      <c r="D23" s="29">
        <f>SUM(D4:D22)</f>
        <v>205488.5</v>
      </c>
      <c r="E23" s="29">
        <f>SUM(E4:E22)</f>
        <v>607.39</v>
      </c>
      <c r="F23" s="29">
        <f>SUM(F4:F22)</f>
        <v>-259.70000000000005</v>
      </c>
    </row>
    <row r="24" spans="2:6" ht="15" customHeight="1" x14ac:dyDescent="0.25">
      <c r="B24" s="28" t="s">
        <v>26</v>
      </c>
      <c r="C24" s="29">
        <f>+C23/16</f>
        <v>21.730625</v>
      </c>
      <c r="D24" s="26" t="s">
        <v>17</v>
      </c>
      <c r="E24" s="26" t="s">
        <v>17</v>
      </c>
      <c r="F24" s="26" t="s">
        <v>17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38C2-C500-47CA-8366-D4472883DDC0}">
  <dimension ref="B1:I20"/>
  <sheetViews>
    <sheetView showGridLines="0" workbookViewId="0">
      <selection activeCell="F4" sqref="F4"/>
    </sheetView>
  </sheetViews>
  <sheetFormatPr baseColWidth="10" defaultRowHeight="15" x14ac:dyDescent="0.25"/>
  <cols>
    <col min="2" max="2" width="23" customWidth="1"/>
    <col min="7" max="7" width="12.5703125" bestFit="1" customWidth="1"/>
  </cols>
  <sheetData>
    <row r="1" spans="2:9" x14ac:dyDescent="0.25">
      <c r="B1" s="42" t="s">
        <v>91</v>
      </c>
      <c r="C1" s="42"/>
      <c r="D1" s="42"/>
      <c r="E1" s="42"/>
      <c r="F1" s="42"/>
      <c r="G1" s="42"/>
      <c r="H1" s="42"/>
      <c r="I1" s="42"/>
    </row>
    <row r="2" spans="2:9" ht="15.75" thickBot="1" x14ac:dyDescent="0.3">
      <c r="B2" s="43"/>
      <c r="C2" s="43"/>
      <c r="D2" s="43"/>
      <c r="E2" s="43"/>
      <c r="F2" s="43"/>
      <c r="G2" s="43"/>
      <c r="H2" s="43"/>
      <c r="I2" s="43"/>
    </row>
    <row r="3" spans="2:9" ht="15.75" thickBot="1" x14ac:dyDescent="0.3"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54</v>
      </c>
    </row>
    <row r="4" spans="2:9" ht="15.75" thickBot="1" x14ac:dyDescent="0.3">
      <c r="B4" s="4" t="s">
        <v>58</v>
      </c>
      <c r="C4" s="4" t="s">
        <v>59</v>
      </c>
      <c r="D4" s="4">
        <v>20.63</v>
      </c>
      <c r="E4" s="4">
        <v>21.73</v>
      </c>
      <c r="F4" s="4">
        <f>E4+D4</f>
        <v>42.36</v>
      </c>
      <c r="G4" s="20">
        <v>14161.33</v>
      </c>
      <c r="H4" s="4">
        <v>43.13</v>
      </c>
      <c r="I4" s="4">
        <v>-0.77</v>
      </c>
    </row>
    <row r="5" spans="2:9" ht="15.75" thickBot="1" x14ac:dyDescent="0.3">
      <c r="B5" s="4" t="s">
        <v>60</v>
      </c>
      <c r="C5" s="4" t="s">
        <v>61</v>
      </c>
      <c r="D5" s="4">
        <v>0</v>
      </c>
      <c r="E5" s="4">
        <v>21.73</v>
      </c>
      <c r="F5" s="4">
        <f t="shared" ref="F5:F6" si="0">E5+D5</f>
        <v>21.73</v>
      </c>
      <c r="G5" s="4"/>
      <c r="H5" s="4">
        <v>44.18</v>
      </c>
      <c r="I5" s="4">
        <v>-22.45</v>
      </c>
    </row>
    <row r="6" spans="2:9" ht="15.75" thickBot="1" x14ac:dyDescent="0.3">
      <c r="B6" s="4" t="s">
        <v>62</v>
      </c>
      <c r="C6" s="4" t="s">
        <v>63</v>
      </c>
      <c r="D6" s="4">
        <v>0</v>
      </c>
      <c r="E6" s="4">
        <v>21.73</v>
      </c>
      <c r="F6" s="4">
        <f t="shared" si="0"/>
        <v>21.73</v>
      </c>
      <c r="G6" s="20">
        <v>6620.7</v>
      </c>
      <c r="H6" s="4">
        <v>21.73</v>
      </c>
      <c r="I6" s="4">
        <v>0</v>
      </c>
    </row>
    <row r="7" spans="2:9" ht="15.75" thickBot="1" x14ac:dyDescent="0.3">
      <c r="B7" s="4" t="s">
        <v>64</v>
      </c>
      <c r="C7" s="4" t="s">
        <v>65</v>
      </c>
      <c r="D7" s="4">
        <v>270.69</v>
      </c>
      <c r="E7" s="4">
        <v>21.73</v>
      </c>
      <c r="F7" s="4">
        <f>E7+D7</f>
        <v>292.42</v>
      </c>
      <c r="G7" s="4"/>
      <c r="H7" s="4"/>
      <c r="I7" s="4">
        <v>292.42</v>
      </c>
    </row>
    <row r="8" spans="2:9" ht="15.75" thickBot="1" x14ac:dyDescent="0.3">
      <c r="B8" s="4" t="s">
        <v>66</v>
      </c>
      <c r="C8" s="4" t="s">
        <v>67</v>
      </c>
      <c r="D8" s="4">
        <v>-0.22</v>
      </c>
      <c r="E8" s="4">
        <v>21.73</v>
      </c>
      <c r="F8" s="4">
        <f>E8+D8</f>
        <v>21.51</v>
      </c>
      <c r="G8" s="20">
        <v>7549</v>
      </c>
      <c r="H8" s="4">
        <v>21.51</v>
      </c>
      <c r="I8" s="4">
        <v>0</v>
      </c>
    </row>
    <row r="9" spans="2:9" ht="15.75" thickBot="1" x14ac:dyDescent="0.3">
      <c r="B9" s="4" t="s">
        <v>68</v>
      </c>
      <c r="C9" s="4" t="s">
        <v>69</v>
      </c>
      <c r="D9" s="4">
        <v>0</v>
      </c>
      <c r="E9" s="4">
        <v>21.73</v>
      </c>
      <c r="F9" s="4">
        <f>E9+D9</f>
        <v>21.73</v>
      </c>
      <c r="G9" s="20">
        <v>6976.03</v>
      </c>
      <c r="H9" s="4">
        <v>21.73</v>
      </c>
      <c r="I9" s="4">
        <v>0</v>
      </c>
    </row>
    <row r="10" spans="2:9" ht="15.75" thickBot="1" x14ac:dyDescent="0.3">
      <c r="B10" s="4" t="s">
        <v>70</v>
      </c>
      <c r="C10" s="4" t="s">
        <v>71</v>
      </c>
      <c r="D10" s="4">
        <v>20.63</v>
      </c>
      <c r="E10" s="4">
        <v>21.73</v>
      </c>
      <c r="F10" s="4">
        <f t="shared" ref="F10:F11" si="1">E10+D10</f>
        <v>42.36</v>
      </c>
      <c r="G10" s="20">
        <v>12906.23</v>
      </c>
      <c r="H10" s="4">
        <v>42.36</v>
      </c>
      <c r="I10" s="4">
        <v>0</v>
      </c>
    </row>
    <row r="11" spans="2:9" ht="15.75" thickBot="1" x14ac:dyDescent="0.3">
      <c r="B11" s="4" t="s">
        <v>72</v>
      </c>
      <c r="C11" s="4" t="s">
        <v>73</v>
      </c>
      <c r="D11" s="4">
        <v>-11.79</v>
      </c>
      <c r="E11" s="4">
        <v>21.73</v>
      </c>
      <c r="F11" s="4">
        <f t="shared" si="1"/>
        <v>9.9400000000000013</v>
      </c>
      <c r="G11" s="20">
        <v>3234.28</v>
      </c>
      <c r="H11" s="4">
        <v>9.94</v>
      </c>
      <c r="I11" s="4">
        <v>0</v>
      </c>
    </row>
    <row r="12" spans="2:9" ht="15.75" thickBot="1" x14ac:dyDescent="0.3">
      <c r="B12" s="4" t="s">
        <v>74</v>
      </c>
      <c r="C12" s="4" t="s">
        <v>75</v>
      </c>
      <c r="D12" s="4">
        <v>20.99</v>
      </c>
      <c r="E12" s="4">
        <v>21.73</v>
      </c>
      <c r="F12" s="4">
        <f>E12+D12</f>
        <v>42.72</v>
      </c>
      <c r="G12" s="20">
        <v>13746</v>
      </c>
      <c r="H12" s="4">
        <v>42.72</v>
      </c>
      <c r="I12" s="4">
        <v>0</v>
      </c>
    </row>
    <row r="13" spans="2:9" ht="15.75" thickBot="1" x14ac:dyDescent="0.3">
      <c r="B13" s="4" t="s">
        <v>76</v>
      </c>
      <c r="C13" s="4" t="s">
        <v>77</v>
      </c>
      <c r="D13" s="4">
        <v>0</v>
      </c>
      <c r="E13" s="4">
        <v>21.73</v>
      </c>
      <c r="F13" s="4">
        <f t="shared" ref="F13:F14" si="2">E13+D13</f>
        <v>21.73</v>
      </c>
      <c r="G13" s="20">
        <v>6976.03</v>
      </c>
      <c r="H13" s="4">
        <v>21.73</v>
      </c>
      <c r="I13" s="4">
        <v>0</v>
      </c>
    </row>
    <row r="14" spans="2:9" ht="15.75" thickBot="1" x14ac:dyDescent="0.3">
      <c r="B14" s="4" t="s">
        <v>78</v>
      </c>
      <c r="C14" s="4" t="s">
        <v>79</v>
      </c>
      <c r="D14" s="4">
        <v>0</v>
      </c>
      <c r="E14" s="4">
        <v>21.73</v>
      </c>
      <c r="F14" s="4">
        <f t="shared" si="2"/>
        <v>21.73</v>
      </c>
      <c r="G14" s="20">
        <v>7981.58</v>
      </c>
      <c r="H14" s="4">
        <v>21.73</v>
      </c>
      <c r="I14" s="4">
        <v>0</v>
      </c>
    </row>
    <row r="15" spans="2:9" ht="15.75" thickBot="1" x14ac:dyDescent="0.3">
      <c r="B15" s="4" t="s">
        <v>90</v>
      </c>
      <c r="C15" s="4" t="s">
        <v>80</v>
      </c>
      <c r="D15" s="4">
        <v>-0.97</v>
      </c>
      <c r="E15" s="4">
        <v>21.73</v>
      </c>
      <c r="F15" s="4">
        <f>E15+D15</f>
        <v>20.76</v>
      </c>
      <c r="G15" s="20">
        <v>6976.03</v>
      </c>
      <c r="H15" s="4">
        <v>20.76</v>
      </c>
      <c r="I15" s="4">
        <v>0</v>
      </c>
    </row>
    <row r="16" spans="2:9" ht="15.75" thickBot="1" x14ac:dyDescent="0.3">
      <c r="B16" s="4" t="s">
        <v>81</v>
      </c>
      <c r="C16" s="4" t="s">
        <v>82</v>
      </c>
      <c r="D16" s="4">
        <v>18.64</v>
      </c>
      <c r="E16" s="4">
        <v>21.73</v>
      </c>
      <c r="F16" s="4">
        <f>E16+D16</f>
        <v>40.370000000000005</v>
      </c>
      <c r="G16" s="20">
        <v>12884.16</v>
      </c>
      <c r="H16" s="4">
        <v>40.369999999999997</v>
      </c>
      <c r="I16" s="4">
        <v>0</v>
      </c>
    </row>
    <row r="17" spans="2:9" ht="15.75" thickBot="1" x14ac:dyDescent="0.3">
      <c r="B17" s="4" t="s">
        <v>83</v>
      </c>
      <c r="C17" s="4" t="s">
        <v>84</v>
      </c>
      <c r="D17" s="4">
        <v>66.22</v>
      </c>
      <c r="E17" s="4">
        <v>21.73</v>
      </c>
      <c r="F17" s="4">
        <f>E17+D17</f>
        <v>87.95</v>
      </c>
      <c r="G17" s="20">
        <v>13905.56</v>
      </c>
      <c r="H17" s="4">
        <v>43.33</v>
      </c>
      <c r="I17" s="4">
        <v>44.62</v>
      </c>
    </row>
    <row r="18" spans="2:9" ht="15.75" thickBot="1" x14ac:dyDescent="0.3">
      <c r="B18" s="4" t="s">
        <v>85</v>
      </c>
      <c r="C18" s="4" t="s">
        <v>86</v>
      </c>
      <c r="D18" s="4">
        <v>0</v>
      </c>
      <c r="E18" s="4">
        <v>21.73</v>
      </c>
      <c r="F18" s="4">
        <f t="shared" ref="F18:F19" si="3">E18+D18</f>
        <v>21.73</v>
      </c>
      <c r="G18" s="20">
        <v>6696.09</v>
      </c>
      <c r="H18" s="4">
        <v>21.73</v>
      </c>
      <c r="I18" s="4">
        <v>0</v>
      </c>
    </row>
    <row r="19" spans="2:9" ht="15.75" thickBot="1" x14ac:dyDescent="0.3">
      <c r="B19" s="4" t="s">
        <v>87</v>
      </c>
      <c r="C19" s="4" t="s">
        <v>88</v>
      </c>
      <c r="D19" s="4">
        <v>0</v>
      </c>
      <c r="E19" s="4">
        <v>21.73</v>
      </c>
      <c r="F19" s="4">
        <f t="shared" si="3"/>
        <v>21.73</v>
      </c>
      <c r="G19" s="20">
        <v>6621</v>
      </c>
      <c r="H19" s="4">
        <v>21.73</v>
      </c>
      <c r="I19" s="4">
        <v>0</v>
      </c>
    </row>
    <row r="20" spans="2:9" ht="25.5" customHeight="1" thickBot="1" x14ac:dyDescent="0.3">
      <c r="B20" s="3" t="s">
        <v>89</v>
      </c>
      <c r="C20" s="4"/>
      <c r="D20" s="3">
        <v>404.82</v>
      </c>
      <c r="E20" s="3">
        <v>347.68</v>
      </c>
      <c r="F20" s="3">
        <v>752.5</v>
      </c>
      <c r="G20" s="21">
        <v>127234.02</v>
      </c>
      <c r="H20" s="3">
        <v>438.68</v>
      </c>
      <c r="I20" s="3">
        <v>313.82</v>
      </c>
    </row>
  </sheetData>
  <mergeCells count="1">
    <mergeCell ref="B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4F35-E25C-46EE-922B-466A2E3B7982}">
  <dimension ref="B2:H22"/>
  <sheetViews>
    <sheetView showGridLines="0" topLeftCell="A9" workbookViewId="0">
      <selection activeCell="G5" sqref="G5"/>
    </sheetView>
  </sheetViews>
  <sheetFormatPr baseColWidth="10" defaultRowHeight="15" x14ac:dyDescent="0.25"/>
  <cols>
    <col min="2" max="2" width="20.5703125" customWidth="1"/>
    <col min="3" max="3" width="12.5703125" bestFit="1" customWidth="1"/>
    <col min="5" max="5" width="12.5703125" bestFit="1" customWidth="1"/>
    <col min="7" max="7" width="12.5703125" bestFit="1" customWidth="1"/>
  </cols>
  <sheetData>
    <row r="2" spans="2:8" x14ac:dyDescent="0.25">
      <c r="B2" s="44" t="s">
        <v>132</v>
      </c>
      <c r="C2" s="44"/>
      <c r="D2" s="44"/>
      <c r="E2" s="44"/>
      <c r="F2" s="44"/>
      <c r="G2" s="44"/>
      <c r="H2" s="44"/>
    </row>
    <row r="3" spans="2:8" ht="15.75" thickBot="1" x14ac:dyDescent="0.3">
      <c r="B3" s="45"/>
      <c r="C3" s="45"/>
      <c r="D3" s="45"/>
      <c r="E3" s="45"/>
      <c r="F3" s="45"/>
      <c r="G3" s="45"/>
      <c r="H3" s="45"/>
    </row>
    <row r="4" spans="2:8" ht="30.75" thickBot="1" x14ac:dyDescent="0.3">
      <c r="B4" s="3" t="s">
        <v>0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</row>
    <row r="5" spans="2:8" ht="39" customHeight="1" thickBot="1" x14ac:dyDescent="0.3">
      <c r="B5" s="4" t="s">
        <v>98</v>
      </c>
      <c r="C5" s="4" t="s">
        <v>17</v>
      </c>
      <c r="D5" s="4" t="s">
        <v>17</v>
      </c>
      <c r="E5" s="4" t="s">
        <v>17</v>
      </c>
      <c r="F5" s="4" t="s">
        <v>17</v>
      </c>
      <c r="G5" s="20">
        <v>1587.99</v>
      </c>
      <c r="H5" s="4">
        <v>0</v>
      </c>
    </row>
    <row r="6" spans="2:8" ht="39" customHeight="1" thickBot="1" x14ac:dyDescent="0.3">
      <c r="B6" s="4" t="s">
        <v>99</v>
      </c>
      <c r="C6" s="20">
        <v>127234.02</v>
      </c>
      <c r="D6" s="4">
        <v>44.18</v>
      </c>
      <c r="E6" s="4" t="s">
        <v>17</v>
      </c>
      <c r="F6" s="4" t="s">
        <v>17</v>
      </c>
      <c r="G6" s="20">
        <v>128822.01</v>
      </c>
      <c r="H6" s="4">
        <v>44.18</v>
      </c>
    </row>
    <row r="7" spans="2:8" ht="39" customHeight="1" thickBot="1" x14ac:dyDescent="0.3">
      <c r="B7" s="4" t="s">
        <v>100</v>
      </c>
      <c r="C7" s="4" t="s">
        <v>17</v>
      </c>
      <c r="D7" s="4" t="s">
        <v>17</v>
      </c>
      <c r="E7" s="20">
        <v>205488.5</v>
      </c>
      <c r="F7" s="4" t="s">
        <v>17</v>
      </c>
      <c r="G7" s="20">
        <v>-76666.490000000005</v>
      </c>
      <c r="H7" s="4">
        <v>44.18</v>
      </c>
    </row>
    <row r="8" spans="2:8" ht="39" customHeight="1" thickBot="1" x14ac:dyDescent="0.3">
      <c r="B8" s="4" t="s">
        <v>101</v>
      </c>
      <c r="C8" s="4" t="s">
        <v>17</v>
      </c>
      <c r="D8" s="4" t="s">
        <v>17</v>
      </c>
      <c r="E8" s="4" t="s">
        <v>17</v>
      </c>
      <c r="F8" s="4">
        <v>44.18</v>
      </c>
      <c r="G8" s="20">
        <v>-76666.490000000005</v>
      </c>
      <c r="H8" s="4">
        <v>0</v>
      </c>
    </row>
    <row r="9" spans="2:8" ht="39" customHeight="1" thickBot="1" x14ac:dyDescent="0.3">
      <c r="B9" s="4" t="s">
        <v>102</v>
      </c>
      <c r="C9" s="20">
        <v>76668.7</v>
      </c>
      <c r="D9" s="4" t="s">
        <v>17</v>
      </c>
      <c r="E9" s="4" t="s">
        <v>17</v>
      </c>
      <c r="F9" s="4" t="s">
        <v>17</v>
      </c>
      <c r="G9" s="4">
        <v>2.2200000000000002</v>
      </c>
      <c r="H9" s="4">
        <v>0</v>
      </c>
    </row>
    <row r="10" spans="2:8" ht="60.75" thickBot="1" x14ac:dyDescent="0.3">
      <c r="B10" s="3" t="s">
        <v>103</v>
      </c>
      <c r="C10" s="4" t="s">
        <v>17</v>
      </c>
      <c r="D10" s="4" t="s">
        <v>17</v>
      </c>
      <c r="E10" s="4" t="s">
        <v>17</v>
      </c>
      <c r="F10" s="4" t="s">
        <v>17</v>
      </c>
      <c r="G10" s="3">
        <v>2.2200000000000002</v>
      </c>
      <c r="H10" s="3">
        <v>0</v>
      </c>
    </row>
    <row r="12" spans="2:8" x14ac:dyDescent="0.25">
      <c r="B12" s="42" t="s">
        <v>112</v>
      </c>
      <c r="C12" s="42"/>
      <c r="D12" s="42"/>
    </row>
    <row r="13" spans="2:8" ht="15.75" thickBot="1" x14ac:dyDescent="0.3">
      <c r="B13" s="46"/>
      <c r="C13" s="46"/>
      <c r="D13" s="46"/>
    </row>
    <row r="14" spans="2:8" ht="15.75" thickBot="1" x14ac:dyDescent="0.3">
      <c r="B14" s="9" t="s">
        <v>42</v>
      </c>
      <c r="C14" s="10" t="s">
        <v>33</v>
      </c>
      <c r="D14" s="11" t="s">
        <v>57</v>
      </c>
    </row>
    <row r="15" spans="2:8" ht="30" x14ac:dyDescent="0.25">
      <c r="B15" s="22" t="s">
        <v>104</v>
      </c>
      <c r="C15" s="23"/>
      <c r="D15" s="22">
        <v>325.82</v>
      </c>
    </row>
    <row r="16" spans="2:8" ht="28.5" x14ac:dyDescent="0.25">
      <c r="B16" s="16" t="s">
        <v>105</v>
      </c>
      <c r="C16" s="16"/>
      <c r="D16" s="16">
        <v>-191.13</v>
      </c>
    </row>
    <row r="17" spans="2:4" ht="30" x14ac:dyDescent="0.25">
      <c r="B17" s="18" t="s">
        <v>106</v>
      </c>
      <c r="C17" s="16"/>
      <c r="D17" s="18">
        <v>134.69</v>
      </c>
    </row>
    <row r="18" spans="2:4" ht="45" x14ac:dyDescent="0.25">
      <c r="B18" s="18" t="s">
        <v>107</v>
      </c>
      <c r="C18" s="18">
        <v>2.2200000000000002</v>
      </c>
      <c r="D18" s="18">
        <v>134.69</v>
      </c>
    </row>
    <row r="19" spans="2:4" ht="28.5" x14ac:dyDescent="0.25">
      <c r="B19" s="16" t="s">
        <v>108</v>
      </c>
      <c r="C19" s="16">
        <v>2.2200000000000002</v>
      </c>
      <c r="D19" s="16">
        <v>0</v>
      </c>
    </row>
    <row r="20" spans="2:4" x14ac:dyDescent="0.25">
      <c r="B20" s="16" t="s">
        <v>109</v>
      </c>
      <c r="C20" s="16"/>
      <c r="D20" s="16">
        <v>313.82</v>
      </c>
    </row>
    <row r="21" spans="2:4" x14ac:dyDescent="0.25">
      <c r="B21" s="16" t="s">
        <v>110</v>
      </c>
      <c r="C21" s="16"/>
      <c r="D21" s="16">
        <v>0</v>
      </c>
    </row>
    <row r="22" spans="2:4" ht="30" x14ac:dyDescent="0.25">
      <c r="B22" s="18" t="s">
        <v>111</v>
      </c>
      <c r="C22" s="18">
        <v>2.2200000000000002</v>
      </c>
      <c r="D22" s="18">
        <v>448.51</v>
      </c>
    </row>
  </sheetData>
  <mergeCells count="2">
    <mergeCell ref="B2:H3"/>
    <mergeCell ref="B12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BAD-5101-42EB-900F-EE2E1E201A8E}">
  <dimension ref="C2:J25"/>
  <sheetViews>
    <sheetView showGridLines="0" topLeftCell="A4" workbookViewId="0">
      <selection activeCell="I12" sqref="I12"/>
    </sheetView>
  </sheetViews>
  <sheetFormatPr baseColWidth="10" defaultRowHeight="15" x14ac:dyDescent="0.25"/>
  <cols>
    <col min="3" max="3" width="33" customWidth="1"/>
  </cols>
  <sheetData>
    <row r="2" spans="3:10" x14ac:dyDescent="0.25">
      <c r="C2" s="42" t="s">
        <v>113</v>
      </c>
      <c r="D2" s="42"/>
      <c r="E2" s="42"/>
      <c r="F2" s="42"/>
      <c r="G2" s="42"/>
      <c r="H2" s="24"/>
    </row>
    <row r="3" spans="3:10" x14ac:dyDescent="0.25">
      <c r="C3" s="42"/>
      <c r="D3" s="42"/>
      <c r="E3" s="42"/>
      <c r="F3" s="42"/>
      <c r="G3" s="42"/>
      <c r="H3" s="24"/>
    </row>
    <row r="4" spans="3:10" x14ac:dyDescent="0.25">
      <c r="C4" s="42" t="s">
        <v>130</v>
      </c>
      <c r="D4" s="42"/>
      <c r="E4" s="42"/>
      <c r="F4" s="42"/>
      <c r="G4" s="42"/>
    </row>
    <row r="5" spans="3:10" x14ac:dyDescent="0.25">
      <c r="C5" s="47"/>
      <c r="D5" s="47"/>
      <c r="E5" s="47"/>
      <c r="F5" s="47"/>
      <c r="G5" s="47"/>
    </row>
    <row r="6" spans="3:10" ht="30" x14ac:dyDescent="0.25">
      <c r="C6" s="18" t="s">
        <v>51</v>
      </c>
      <c r="D6" s="18" t="s">
        <v>52</v>
      </c>
      <c r="E6" s="18" t="s">
        <v>114</v>
      </c>
      <c r="F6" s="18" t="s">
        <v>115</v>
      </c>
      <c r="G6" s="18" t="s">
        <v>55</v>
      </c>
    </row>
    <row r="7" spans="3:10" x14ac:dyDescent="0.25">
      <c r="C7" s="16"/>
      <c r="D7" s="16"/>
      <c r="E7" s="18" t="s">
        <v>116</v>
      </c>
      <c r="F7" s="18" t="s">
        <v>116</v>
      </c>
      <c r="G7" s="18" t="s">
        <v>117</v>
      </c>
    </row>
    <row r="8" spans="3:10" ht="18" customHeight="1" x14ac:dyDescent="0.25">
      <c r="C8" s="16" t="s">
        <v>118</v>
      </c>
      <c r="D8" s="16" t="s">
        <v>59</v>
      </c>
      <c r="E8" s="17">
        <v>3992.67</v>
      </c>
      <c r="F8" s="16"/>
      <c r="G8" s="17">
        <f>E8+F8</f>
        <v>3992.67</v>
      </c>
    </row>
    <row r="9" spans="3:10" ht="18" customHeight="1" x14ac:dyDescent="0.25">
      <c r="C9" s="16" t="s">
        <v>119</v>
      </c>
      <c r="D9" s="16" t="s">
        <v>61</v>
      </c>
      <c r="E9" s="16">
        <v>11.41</v>
      </c>
      <c r="F9" s="16">
        <v>11.41</v>
      </c>
      <c r="G9" s="17">
        <f t="shared" ref="G9:G23" si="0">E9+F9</f>
        <v>22.82</v>
      </c>
    </row>
    <row r="10" spans="3:10" ht="18" customHeight="1" x14ac:dyDescent="0.25">
      <c r="C10" s="16" t="s">
        <v>120</v>
      </c>
      <c r="D10" s="16" t="s">
        <v>63</v>
      </c>
      <c r="E10" s="17">
        <v>3712.7</v>
      </c>
      <c r="F10" s="17">
        <v>3712.7</v>
      </c>
      <c r="G10" s="17">
        <f t="shared" si="0"/>
        <v>7425.4</v>
      </c>
    </row>
    <row r="11" spans="3:10" ht="18" customHeight="1" x14ac:dyDescent="0.25">
      <c r="C11" s="16" t="s">
        <v>64</v>
      </c>
      <c r="D11" s="16" t="s">
        <v>65</v>
      </c>
      <c r="E11" s="16">
        <v>4224.55</v>
      </c>
      <c r="F11" s="16">
        <v>4224.55</v>
      </c>
      <c r="G11" s="17">
        <f t="shared" si="0"/>
        <v>8449.1</v>
      </c>
    </row>
    <row r="12" spans="3:10" ht="18" customHeight="1" x14ac:dyDescent="0.25">
      <c r="C12" s="16" t="s">
        <v>121</v>
      </c>
      <c r="D12" s="16" t="s">
        <v>67</v>
      </c>
      <c r="E12" s="17">
        <v>3899.5</v>
      </c>
      <c r="F12" s="17">
        <v>3899.5</v>
      </c>
      <c r="G12" s="17">
        <f t="shared" si="0"/>
        <v>7799</v>
      </c>
      <c r="I12" s="1"/>
      <c r="J12" s="33"/>
    </row>
    <row r="13" spans="3:10" ht="18" customHeight="1" x14ac:dyDescent="0.25">
      <c r="C13" s="16" t="s">
        <v>68</v>
      </c>
      <c r="D13" s="16" t="s">
        <v>69</v>
      </c>
      <c r="E13" s="17">
        <v>4024.42</v>
      </c>
      <c r="F13" s="17">
        <v>4024.42</v>
      </c>
      <c r="G13" s="17">
        <f t="shared" si="0"/>
        <v>8048.84</v>
      </c>
      <c r="I13" s="1"/>
      <c r="J13" s="1"/>
    </row>
    <row r="14" spans="3:10" ht="18" customHeight="1" x14ac:dyDescent="0.25">
      <c r="C14" s="16" t="s">
        <v>122</v>
      </c>
      <c r="D14" s="16" t="s">
        <v>71</v>
      </c>
      <c r="E14" s="16"/>
      <c r="F14" s="16"/>
      <c r="G14" s="17">
        <f t="shared" si="0"/>
        <v>0</v>
      </c>
    </row>
    <row r="15" spans="3:10" ht="18" customHeight="1" x14ac:dyDescent="0.25">
      <c r="C15" s="16" t="s">
        <v>123</v>
      </c>
      <c r="D15" s="16" t="s">
        <v>73</v>
      </c>
      <c r="E15" s="17">
        <v>3712.7</v>
      </c>
      <c r="F15" s="17">
        <v>3712.6</v>
      </c>
      <c r="G15" s="17">
        <f t="shared" si="0"/>
        <v>7425.2999999999993</v>
      </c>
    </row>
    <row r="16" spans="3:10" ht="18" customHeight="1" x14ac:dyDescent="0.25">
      <c r="C16" s="16" t="s">
        <v>124</v>
      </c>
      <c r="D16" s="16" t="s">
        <v>75</v>
      </c>
      <c r="E16" s="16"/>
      <c r="F16" s="16"/>
      <c r="G16" s="17">
        <f t="shared" si="0"/>
        <v>0</v>
      </c>
    </row>
    <row r="17" spans="3:7" ht="18" customHeight="1" x14ac:dyDescent="0.25">
      <c r="C17" s="16" t="s">
        <v>125</v>
      </c>
      <c r="D17" s="16" t="s">
        <v>77</v>
      </c>
      <c r="E17" s="17">
        <v>3869.7</v>
      </c>
      <c r="F17" s="17">
        <v>3869.7</v>
      </c>
      <c r="G17" s="17">
        <f t="shared" si="0"/>
        <v>7739.4</v>
      </c>
    </row>
    <row r="18" spans="3:7" ht="18" customHeight="1" x14ac:dyDescent="0.25">
      <c r="C18" s="16" t="s">
        <v>126</v>
      </c>
      <c r="D18" s="16" t="s">
        <v>79</v>
      </c>
      <c r="E18" s="17">
        <v>4224.6000000000004</v>
      </c>
      <c r="F18" s="17">
        <v>4224.6000000000004</v>
      </c>
      <c r="G18" s="17">
        <f t="shared" si="0"/>
        <v>8449.2000000000007</v>
      </c>
    </row>
    <row r="19" spans="3:7" ht="18" customHeight="1" x14ac:dyDescent="0.25">
      <c r="C19" s="16" t="s">
        <v>90</v>
      </c>
      <c r="D19" s="16" t="s">
        <v>80</v>
      </c>
      <c r="E19" s="17">
        <v>3880</v>
      </c>
      <c r="F19" s="17">
        <v>3880</v>
      </c>
      <c r="G19" s="17">
        <f t="shared" si="0"/>
        <v>7760</v>
      </c>
    </row>
    <row r="20" spans="3:7" ht="18" customHeight="1" x14ac:dyDescent="0.25">
      <c r="C20" s="16" t="s">
        <v>81</v>
      </c>
      <c r="D20" s="16" t="s">
        <v>82</v>
      </c>
      <c r="E20" s="17">
        <v>3712.7</v>
      </c>
      <c r="F20" s="16"/>
      <c r="G20" s="17">
        <f t="shared" si="0"/>
        <v>3712.7</v>
      </c>
    </row>
    <row r="21" spans="3:7" ht="18" customHeight="1" x14ac:dyDescent="0.25">
      <c r="C21" s="16" t="s">
        <v>83</v>
      </c>
      <c r="D21" s="16" t="s">
        <v>84</v>
      </c>
      <c r="E21" s="17">
        <v>3992.67</v>
      </c>
      <c r="F21" s="17">
        <v>3992.67</v>
      </c>
      <c r="G21" s="17">
        <f t="shared" si="0"/>
        <v>7985.34</v>
      </c>
    </row>
    <row r="22" spans="3:7" ht="18" customHeight="1" x14ac:dyDescent="0.25">
      <c r="C22" s="16" t="s">
        <v>127</v>
      </c>
      <c r="D22" s="16" t="s">
        <v>86</v>
      </c>
      <c r="E22" s="17">
        <v>4190.97</v>
      </c>
      <c r="F22" s="17">
        <v>4190.97</v>
      </c>
      <c r="G22" s="17">
        <f t="shared" si="0"/>
        <v>8381.94</v>
      </c>
    </row>
    <row r="23" spans="3:7" ht="18" customHeight="1" x14ac:dyDescent="0.25">
      <c r="C23" s="16" t="s">
        <v>87</v>
      </c>
      <c r="D23" s="16" t="s">
        <v>88</v>
      </c>
      <c r="E23" s="17">
        <v>3999.5</v>
      </c>
      <c r="F23" s="17">
        <v>3999.5</v>
      </c>
      <c r="G23" s="17">
        <f t="shared" si="0"/>
        <v>7999</v>
      </c>
    </row>
    <row r="24" spans="3:7" ht="18" customHeight="1" x14ac:dyDescent="0.25">
      <c r="C24" s="18" t="s">
        <v>128</v>
      </c>
      <c r="D24" s="16"/>
      <c r="E24" s="19">
        <v>47212.12</v>
      </c>
      <c r="F24" s="19">
        <v>39506.660000000003</v>
      </c>
      <c r="G24" s="19">
        <f>SUM(G8:G23)</f>
        <v>95190.71</v>
      </c>
    </row>
    <row r="25" spans="3:7" ht="18" customHeight="1" x14ac:dyDescent="0.25">
      <c r="C25" s="18" t="s">
        <v>129</v>
      </c>
      <c r="D25" s="25"/>
      <c r="E25" s="25"/>
      <c r="F25" s="25"/>
      <c r="G25" s="18">
        <v>22.82</v>
      </c>
    </row>
  </sheetData>
  <mergeCells count="2">
    <mergeCell ref="C4:G5"/>
    <mergeCell ref="C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Gavy Jose Colmenares Gonzalez</dc:creator>
  <cp:lastModifiedBy>Gavy Jose Colmenares Gonzalez</cp:lastModifiedBy>
  <dcterms:created xsi:type="dcterms:W3CDTF">2026-02-04T23:18:45Z</dcterms:created>
  <dcterms:modified xsi:type="dcterms:W3CDTF">2026-02-05T03:30:00Z</dcterms:modified>
</cp:coreProperties>
</file>